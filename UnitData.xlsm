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Repositories\- GitHub\RTS_Project\"/>
    </mc:Choice>
  </mc:AlternateContent>
  <xr:revisionPtr revIDLastSave="0" documentId="13_ncr:1_{4D9C27E2-ABE6-4DCC-9BA6-30E2EF60DFE5}" xr6:coauthVersionLast="47" xr6:coauthVersionMax="47" xr10:uidLastSave="{00000000-0000-0000-0000-000000000000}"/>
  <bookViews>
    <workbookView xWindow="-120" yWindow="-120" windowWidth="29040" windowHeight="15990" tabRatio="846" activeTab="1" xr2:uid="{618DFF84-34B4-4058-A494-DA8BE91B88BD}"/>
  </bookViews>
  <sheets>
    <sheet name="D" sheetId="2" r:id="rId1"/>
    <sheet name="Buildings" sheetId="1" r:id="rId2"/>
    <sheet name="Characters" sheetId="3" r:id="rId3"/>
  </sheets>
  <definedNames>
    <definedName name="Abilities">D!$C$2:$C$15</definedName>
    <definedName name="UnitTypes">D!$A$2:$A$4</definedName>
    <definedName name="Weapons">D!$B$2:$B$6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<sst xmlns="http://schemas.openxmlformats.org/spreadsheetml/2006/main" count="144" uniqueCount="80">
  <si>
    <t>Name</t>
  </si>
  <si>
    <t>Type</t>
  </si>
  <si>
    <t>ToolTip</t>
  </si>
  <si>
    <t>BuildTIme</t>
  </si>
  <si>
    <t>DeathTime</t>
  </si>
  <si>
    <t>--</t>
  </si>
  <si>
    <t>HealthMax</t>
  </si>
  <si>
    <t>ManaMax</t>
  </si>
  <si>
    <t>Test</t>
  </si>
  <si>
    <t>TestUnit</t>
  </si>
  <si>
    <t>Health Regen</t>
  </si>
  <si>
    <t>Health Regen Rate</t>
  </si>
  <si>
    <t>Mana Regen</t>
  </si>
  <si>
    <t>Mana Regen Rate</t>
  </si>
  <si>
    <t>Required Wood</t>
  </si>
  <si>
    <t>Required Gold</t>
  </si>
  <si>
    <t>Required Food</t>
  </si>
  <si>
    <t>Required Unit</t>
  </si>
  <si>
    <t>Armor</t>
  </si>
  <si>
    <t>Attack Range</t>
  </si>
  <si>
    <t>Action Range</t>
  </si>
  <si>
    <t>Base Attack Speed</t>
  </si>
  <si>
    <t>Base Damage</t>
  </si>
  <si>
    <t>Ability 01</t>
  </si>
  <si>
    <t>Ability 02</t>
  </si>
  <si>
    <t>Ability 03</t>
  </si>
  <si>
    <t>Ability 04</t>
  </si>
  <si>
    <t>Ability 05</t>
  </si>
  <si>
    <t>Ability 06</t>
  </si>
  <si>
    <t>Ability 07</t>
  </si>
  <si>
    <t>Ability 08</t>
  </si>
  <si>
    <t>Ability 09</t>
  </si>
  <si>
    <t>Ability 10</t>
  </si>
  <si>
    <t>Ability 11</t>
  </si>
  <si>
    <t>Ability 12</t>
  </si>
  <si>
    <t>Weapon</t>
  </si>
  <si>
    <t>Produced Gold</t>
  </si>
  <si>
    <t>Produced Food</t>
  </si>
  <si>
    <t>Produced Unit</t>
  </si>
  <si>
    <t>Production Speed</t>
  </si>
  <si>
    <t>Supplied Wood</t>
  </si>
  <si>
    <t>Supplied Gold</t>
  </si>
  <si>
    <t>Supplied Food</t>
  </si>
  <si>
    <t>Supplied Unit</t>
  </si>
  <si>
    <t>SellUnit</t>
  </si>
  <si>
    <t>DeselectUnit</t>
  </si>
  <si>
    <t>UnitTypes</t>
  </si>
  <si>
    <t>Abilities</t>
  </si>
  <si>
    <t>Weapons</t>
  </si>
  <si>
    <t>None</t>
  </si>
  <si>
    <t>Sword</t>
  </si>
  <si>
    <t>Gun</t>
  </si>
  <si>
    <t>Building</t>
  </si>
  <si>
    <t>Character</t>
  </si>
  <si>
    <t>SetGatheringPoint</t>
  </si>
  <si>
    <t>SpawnWindMill</t>
  </si>
  <si>
    <t>SpawnGoldMine</t>
  </si>
  <si>
    <t>SpawnSawMill</t>
  </si>
  <si>
    <t>SpawnBarracks</t>
  </si>
  <si>
    <t>SpawnHouse</t>
  </si>
  <si>
    <t>SpawnWorker</t>
  </si>
  <si>
    <t>SpawnKnight</t>
  </si>
  <si>
    <t>SpawnGunner</t>
  </si>
  <si>
    <t>Test2</t>
  </si>
  <si>
    <t>AnotherTestUnit</t>
  </si>
  <si>
    <t>Icon 1</t>
  </si>
  <si>
    <t xml:space="preserve">Icon 2 </t>
  </si>
  <si>
    <t>Icon 3</t>
  </si>
  <si>
    <t>Icon 4</t>
  </si>
  <si>
    <t xml:space="preserve">Icon 3 </t>
  </si>
  <si>
    <t>Character Type</t>
  </si>
  <si>
    <t>Movement Type</t>
  </si>
  <si>
    <t>Movement Speed</t>
  </si>
  <si>
    <t>Movement Accerlation</t>
  </si>
  <si>
    <t>(3) BuildTIme</t>
  </si>
  <si>
    <t>(0) Name</t>
  </si>
  <si>
    <t>(5) Required Wood</t>
  </si>
  <si>
    <t>(9) HealthMax</t>
  </si>
  <si>
    <t>(20) Weapon</t>
  </si>
  <si>
    <t>(37) Produced Wood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</si>
</sst>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 Black"/>
      <family val="2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7" tint="-0.249977111117893"/>
      <name val="Arial Black"/>
      <family val="2"/>
    </font>
    <font>
      <sz val="11"/>
      <color theme="8" tint="0.59999389629810485"/>
      <name val="Arial Black"/>
      <family val="2"/>
    </font>
    <font>
      <sz val="11"/>
      <color rgb="FFFFCCCC"/>
      <name val="Arial Black"/>
      <family val="2"/>
    </font>
    <font>
      <sz val="11"/>
      <color theme="5" tint="0.59999389629810485"/>
      <name val="Arial Black"/>
      <family val="2"/>
    </font>
    <font>
      <sz val="11"/>
      <color theme="9" tint="0.59999389629810485"/>
      <name val="Arial Black"/>
      <family val="2"/>
    </font>
    <font>
      <sz val="11"/>
      <color theme="3" tint="0.79998168889431442"/>
      <name val="Arial Black"/>
      <family val="2"/>
    </font>
    <font>
      <sz val="12"/>
      <color rgb="FF0000FF"/>
      <name val="Arial Black"/>
      <family val="2"/>
    </font>
    <font>
      <sz val="11"/>
      <color theme="2" tint="-9.9978637043366805E-2"/>
      <name val="Arial Black"/>
      <family val="2"/>
    </font>
  </fonts>
  <fills count="22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darkDown">
        <fgColor rgb="FFC00000"/>
        <bgColor theme="0" tint="-0.14996795556505021"/>
      </patternFill>
    </fill>
    <fill>
      <patternFill patternType="darkDown">
        <fgColor rgb="FFC00000"/>
        <bgColor theme="0" tint="-0.14999847407452621"/>
      </patternFill>
    </fill>
    <fill>
      <patternFill patternType="darkDown">
        <fgColor rgb="FFC00000"/>
        <bgColor theme="0" tint="-4.9989318521683403E-2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2" tint="-0.24994659260841701"/>
      </bottom>
      <diagonal/>
    </border>
    <border>
      <left style="thin">
        <color auto="1"/>
      </left>
      <right/>
      <top style="medium">
        <color auto="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1"/>
      </left>
      <right style="thin">
        <color auto="1"/>
      </right>
      <top style="medium">
        <color auto="1"/>
      </top>
      <bottom style="thin">
        <color theme="2" tint="-0.24994659260841701"/>
      </bottom>
      <diagonal/>
    </border>
    <border>
      <left style="thin">
        <color auto="1"/>
      </left>
      <right style="medium">
        <color theme="1"/>
      </right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medium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medium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 style="medium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1"/>
      </left>
      <right/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/>
      <top style="medium">
        <color theme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2" tint="-0.24994659260841701"/>
      </bottom>
      <diagonal/>
    </border>
    <border>
      <left style="thin">
        <color auto="1"/>
      </left>
      <right style="medium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auto="1"/>
      </bottom>
      <diagonal/>
    </border>
    <border>
      <left style="thin">
        <color auto="1"/>
      </left>
      <right/>
      <top style="medium">
        <color theme="1"/>
      </top>
      <bottom style="medium">
        <color auto="1"/>
      </bottom>
      <diagonal/>
    </border>
    <border>
      <left/>
      <right/>
      <top style="medium">
        <color theme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theme="1"/>
      </top>
      <bottom style="medium">
        <color auto="1"/>
      </bottom>
      <diagonal/>
    </border>
    <border>
      <left/>
      <right style="thin">
        <color auto="1"/>
      </right>
      <top style="medium">
        <color theme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theme="2" tint="-0.24994659260841701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 applyAlignment="1">
      <alignment vertical="center" wrapText="1"/>
    </xf>
    <xf numFmtId="0" fontId="4" fillId="4" borderId="1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left" vertical="center" indent="1"/>
    </xf>
    <xf numFmtId="0" fontId="4" fillId="4" borderId="6" xfId="0" applyFont="1" applyFill="1" applyBorder="1" applyAlignment="1">
      <alignment horizontal="left" vertical="center" indent="1"/>
    </xf>
    <xf numFmtId="0" fontId="4" fillId="4" borderId="7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horizontal="left" vertical="center" indent="1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13" borderId="13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4" fillId="13" borderId="15" xfId="0" applyFont="1" applyFill="1" applyBorder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164" fontId="4" fillId="13" borderId="6" xfId="0" applyNumberFormat="1" applyFont="1" applyFill="1" applyBorder="1" applyAlignment="1">
      <alignment horizontal="center" vertical="center"/>
    </xf>
    <xf numFmtId="164" fontId="4" fillId="15" borderId="5" xfId="0" applyNumberFormat="1" applyFont="1" applyFill="1" applyBorder="1" applyAlignment="1">
      <alignment horizontal="center" vertical="center"/>
    </xf>
    <xf numFmtId="164" fontId="4" fillId="15" borderId="6" xfId="0" applyNumberFormat="1" applyFont="1" applyFill="1" applyBorder="1" applyAlignment="1">
      <alignment horizontal="center" vertical="center"/>
    </xf>
    <xf numFmtId="164" fontId="4" fillId="15" borderId="7" xfId="0" applyNumberFormat="1" applyFont="1" applyFill="1" applyBorder="1" applyAlignment="1">
      <alignment horizontal="center" vertical="center"/>
    </xf>
    <xf numFmtId="164" fontId="4" fillId="15" borderId="8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4" fontId="4" fillId="5" borderId="6" xfId="0" applyNumberFormat="1" applyFont="1" applyFill="1" applyBorder="1" applyAlignment="1">
      <alignment horizontal="center" vertical="center"/>
    </xf>
    <xf numFmtId="164" fontId="4" fillId="5" borderId="4" xfId="0" applyNumberFormat="1" applyFont="1" applyFill="1" applyBorder="1" applyAlignment="1">
      <alignment horizontal="center" vertical="center"/>
    </xf>
    <xf numFmtId="164" fontId="4" fillId="5" borderId="8" xfId="0" applyNumberFormat="1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/>
    </xf>
    <xf numFmtId="164" fontId="4" fillId="6" borderId="6" xfId="0" applyNumberFormat="1" applyFont="1" applyFill="1" applyBorder="1" applyAlignment="1">
      <alignment horizontal="center" vertical="center"/>
    </xf>
    <xf numFmtId="164" fontId="4" fillId="6" borderId="4" xfId="0" applyNumberFormat="1" applyFont="1" applyFill="1" applyBorder="1" applyAlignment="1">
      <alignment horizontal="center" vertical="center"/>
    </xf>
    <xf numFmtId="164" fontId="4" fillId="6" borderId="8" xfId="0" applyNumberFormat="1" applyFont="1" applyFill="1" applyBorder="1" applyAlignment="1">
      <alignment horizontal="center" vertical="center"/>
    </xf>
    <xf numFmtId="164" fontId="4" fillId="12" borderId="15" xfId="0" applyNumberFormat="1" applyFont="1" applyFill="1" applyBorder="1" applyAlignment="1">
      <alignment horizontal="center" vertical="center"/>
    </xf>
    <xf numFmtId="164" fontId="4" fillId="12" borderId="6" xfId="0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left" vertical="center" indent="1"/>
    </xf>
    <xf numFmtId="0" fontId="5" fillId="0" borderId="17" xfId="0" applyFont="1" applyBorder="1" applyAlignment="1">
      <alignment horizontal="center" vertical="center"/>
    </xf>
    <xf numFmtId="0" fontId="0" fillId="0" borderId="17" xfId="0" quotePrefix="1" applyBorder="1" applyAlignment="1">
      <alignment horizontal="left" vertical="center" indent="1"/>
    </xf>
    <xf numFmtId="0" fontId="4" fillId="4" borderId="4" xfId="0" applyNumberFormat="1" applyFont="1" applyFill="1" applyBorder="1" applyAlignment="1">
      <alignment horizontal="left" vertical="center" indent="1"/>
    </xf>
    <xf numFmtId="164" fontId="4" fillId="12" borderId="7" xfId="0" applyNumberFormat="1" applyFont="1" applyFill="1" applyBorder="1" applyAlignment="1">
      <alignment horizontal="center" vertical="center"/>
    </xf>
    <xf numFmtId="164" fontId="4" fillId="12" borderId="3" xfId="0" applyNumberFormat="1" applyFont="1" applyFill="1" applyBorder="1" applyAlignment="1">
      <alignment horizontal="center" vertical="center"/>
    </xf>
    <xf numFmtId="0" fontId="4" fillId="13" borderId="7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164" fontId="4" fillId="13" borderId="4" xfId="0" applyNumberFormat="1" applyFont="1" applyFill="1" applyBorder="1" applyAlignment="1">
      <alignment horizontal="center" vertical="center"/>
    </xf>
    <xf numFmtId="0" fontId="4" fillId="13" borderId="18" xfId="0" applyFont="1" applyFill="1" applyBorder="1" applyAlignment="1">
      <alignment horizontal="center" vertical="center"/>
    </xf>
    <xf numFmtId="0" fontId="4" fillId="13" borderId="19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left" vertical="center" wrapText="1" indent="2"/>
    </xf>
    <xf numFmtId="0" fontId="2" fillId="14" borderId="10" xfId="0" applyFont="1" applyFill="1" applyBorder="1" applyAlignment="1">
      <alignment horizontal="center" vertical="center" wrapText="1"/>
    </xf>
    <xf numFmtId="0" fontId="2" fillId="14" borderId="12" xfId="0" applyFont="1" applyFill="1" applyBorder="1" applyAlignment="1">
      <alignment horizontal="center" vertical="center" wrapText="1"/>
    </xf>
    <xf numFmtId="0" fontId="2" fillId="0" borderId="12" xfId="0" quotePrefix="1" applyFont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11" borderId="16" xfId="0" applyFont="1" applyFill="1" applyBorder="1" applyAlignment="1">
      <alignment horizontal="center" vertical="center" wrapText="1"/>
    </xf>
    <xf numFmtId="0" fontId="2" fillId="11" borderId="12" xfId="0" applyFont="1" applyFill="1" applyBorder="1" applyAlignment="1">
      <alignment horizontal="center" vertical="center" wrapText="1"/>
    </xf>
    <xf numFmtId="0" fontId="2" fillId="9" borderId="20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6" fillId="16" borderId="16" xfId="0" applyFont="1" applyFill="1" applyBorder="1" applyAlignment="1">
      <alignment horizontal="center" vertical="center" wrapText="1"/>
    </xf>
    <xf numFmtId="0" fontId="6" fillId="16" borderId="12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 wrapText="1"/>
    </xf>
    <xf numFmtId="0" fontId="10" fillId="7" borderId="16" xfId="0" applyFont="1" applyFill="1" applyBorder="1" applyAlignment="1">
      <alignment horizontal="center" vertical="center" wrapText="1"/>
    </xf>
    <xf numFmtId="0" fontId="10" fillId="7" borderId="21" xfId="0" applyFont="1" applyFill="1" applyBorder="1" applyAlignment="1">
      <alignment horizontal="center" vertical="center" wrapText="1"/>
    </xf>
    <xf numFmtId="0" fontId="10" fillId="7" borderId="12" xfId="0" applyFont="1" applyFill="1" applyBorder="1" applyAlignment="1">
      <alignment horizontal="center" vertical="center" wrapText="1"/>
    </xf>
    <xf numFmtId="0" fontId="4" fillId="18" borderId="5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horizontal="center" vertical="center"/>
    </xf>
    <xf numFmtId="0" fontId="11" fillId="17" borderId="10" xfId="0" applyFont="1" applyFill="1" applyBorder="1" applyAlignment="1">
      <alignment horizontal="center" vertical="center" wrapText="1"/>
    </xf>
    <xf numFmtId="0" fontId="11" fillId="17" borderId="11" xfId="0" applyFont="1" applyFill="1" applyBorder="1" applyAlignment="1">
      <alignment horizontal="center" vertical="center" wrapText="1"/>
    </xf>
    <xf numFmtId="0" fontId="11" fillId="17" borderId="12" xfId="0" quotePrefix="1" applyFont="1" applyFill="1" applyBorder="1" applyAlignment="1">
      <alignment horizontal="center" vertical="center" wrapText="1"/>
    </xf>
    <xf numFmtId="0" fontId="4" fillId="19" borderId="9" xfId="0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vertical="center"/>
    </xf>
    <xf numFmtId="0" fontId="13" fillId="19" borderId="22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164" fontId="4" fillId="13" borderId="25" xfId="0" applyNumberFormat="1" applyFont="1" applyFill="1" applyBorder="1" applyAlignment="1">
      <alignment horizontal="center" vertical="center"/>
    </xf>
    <xf numFmtId="0" fontId="4" fillId="21" borderId="15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4" fillId="21" borderId="6" xfId="0" applyFont="1" applyFill="1" applyBorder="1" applyAlignment="1">
      <alignment horizontal="center" vertical="center"/>
    </xf>
    <xf numFmtId="0" fontId="13" fillId="20" borderId="16" xfId="0" applyFont="1" applyFill="1" applyBorder="1" applyAlignment="1">
      <alignment horizontal="center" vertical="center" wrapText="1"/>
    </xf>
    <xf numFmtId="0" fontId="13" fillId="20" borderId="21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1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ill>
        <patternFill patternType="darkDown">
          <fgColor rgb="FFC00000"/>
          <bgColor theme="0" tint="-0.14996795556505021"/>
        </patternFill>
      </fill>
    </dxf>
    <dxf>
      <fill>
        <patternFill patternType="darkDown">
          <fgColor rgb="FFC00000"/>
          <bgColor theme="0" tint="-0.14996795556505021"/>
        </patternFill>
      </fill>
    </dxf>
    <dxf>
      <fill>
        <patternFill patternType="darkDown">
          <fgColor rgb="FFC00000"/>
          <bgColor theme="0" tint="-0.14996795556505021"/>
        </patternFill>
      </fill>
    </dxf>
    <dxf>
      <fill>
        <patternFill patternType="darkDown">
          <fgColor rgb="FFC00000"/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FCCC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1657350</xdr:colOff>
          <xdr:row>0</xdr:row>
          <xdr:rowOff>142875</xdr:rowOff>
        </xdr:from>
        <xdr:to>
          <xdr:col>2</xdr:col>
          <xdr:colOff>3505200</xdr:colOff>
          <xdr:row>0</xdr:row>
          <xdr:rowOff>590550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FF"/>
                  </a:solidFill>
                  <a:latin typeface="Arial Black"/>
                </a:rPr>
                <a:t>Save to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1657350</xdr:colOff>
          <xdr:row>0</xdr:row>
          <xdr:rowOff>142875</xdr:rowOff>
        </xdr:from>
        <xdr:to>
          <xdr:col>2</xdr:col>
          <xdr:colOff>3505200</xdr:colOff>
          <xdr:row>0</xdr:row>
          <xdr:rowOff>590550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FF"/>
                  </a:solidFill>
                  <a:latin typeface="Arial Black"/>
                </a:rPr>
                <a:t>Save to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0A3CEE-F12E-4E93-A64F-9358F0D01848}" name="Tabelle1" displayName="Tabelle1" ref="A1:AT3" headerRowDxfId="181" dataDxfId="179" headerRowBorderDxfId="180" tableBorderDxfId="178">
  <autoFilter ref="A1:AT3" xr:uid="{6F0A3CEE-F12E-4E93-A64F-9358F0D01848}"/>
  <tableColumns count="46">
    <tableColumn id="1" xr3:uid="{03664DA7-5E73-47EE-B32F-00F1A14410B1}" name="(0) Name" totalsRowLabel="Ergebnis" dataDxfId="177" totalsRowDxfId="176"/>
    <tableColumn id="2" xr3:uid="{07F08624-7DB7-40E2-B71A-1042306CFAE5}" name="Type" dataDxfId="175" totalsRowDxfId="174">
      <calculatedColumnFormula>IF(Tabelle1[[#This Row],[(0) Name]]="","","Building")</calculatedColumnFormula>
    </tableColumn>
    <tableColumn id="3" xr3:uid="{92BF9A28-2D8E-4444-B7FF-5A5AA8D62D83}" name="ToolTip" dataDxfId="173" totalsRowDxfId="172"/>
    <tableColumn id="4" xr3:uid="{C9907E8C-78E9-4324-95D6-5BAC17F19AEA}" name="(3) BuildTIme" dataDxfId="171" totalsRowDxfId="170"/>
    <tableColumn id="5" xr3:uid="{572A806E-2C56-47FB-A3F2-961E5EECF533}" name="DeathTime" dataDxfId="169" totalsRowDxfId="168"/>
    <tableColumn id="47" xr3:uid="{0F77F84C-6D83-42C3-8423-4FE3AADB76C9}" name="(5) Required Wood" dataDxfId="167" totalsRowDxfId="166"/>
    <tableColumn id="46" xr3:uid="{45D771B7-6F8F-43CB-9800-0DABF4CE9257}" name="Required Gold" dataDxfId="165" totalsRowDxfId="164"/>
    <tableColumn id="45" xr3:uid="{47BD405C-A902-4637-AD0E-55FAF2BB93BB}" name="Required Food" dataDxfId="163" totalsRowDxfId="162"/>
    <tableColumn id="6" xr3:uid="{FE86D60D-8A98-4DB6-B46B-2B89D94E7EE0}" name="Required Unit" dataDxfId="161" totalsRowDxfId="160"/>
    <tableColumn id="7" xr3:uid="{6B425B68-058F-487B-9DB2-97E1721A81F7}" name="(9) HealthMax" dataDxfId="159" totalsRowDxfId="158"/>
    <tableColumn id="8" xr3:uid="{A1E91172-0F9D-4489-900D-05EFD974174E}" name="Health Regen" dataDxfId="157" totalsRowDxfId="156"/>
    <tableColumn id="9" xr3:uid="{8C9CBF2D-F329-4E2F-8AE0-EF7C036E53DA}" name="Health Regen Rate" dataDxfId="155" totalsRowDxfId="154"/>
    <tableColumn id="10" xr3:uid="{A5C196DD-9699-47F2-8D93-AFBB8158CFD8}" name="ManaMax" dataDxfId="153" totalsRowDxfId="152"/>
    <tableColumn id="11" xr3:uid="{60A947E0-B484-4B6A-B56A-FCD6CD29245E}" name="Mana Regen" dataDxfId="151" totalsRowDxfId="150"/>
    <tableColumn id="12" xr3:uid="{32E93C11-ABED-48E4-940A-EF0CEBD2D998}" name="Mana Regen Rate" totalsRowFunction="sum" dataDxfId="149" totalsRowDxfId="148"/>
    <tableColumn id="29" xr3:uid="{4C95AD50-846D-45B5-BB10-FF1CBF745D36}" name="Armor" dataDxfId="147" totalsRowDxfId="146"/>
    <tableColumn id="30" xr3:uid="{3946968F-8241-404C-BB0C-225DF40E0179}" name="Attack Range" dataDxfId="145" totalsRowDxfId="144"/>
    <tableColumn id="31" xr3:uid="{4052C82D-88D1-4FDD-879A-33F6278C2A1D}" name="Action Range" dataDxfId="143" totalsRowDxfId="142"/>
    <tableColumn id="32" xr3:uid="{45AF9BEB-0D2D-4E08-A8A0-E41CD664881C}" name="Base Attack Speed" dataDxfId="141" totalsRowDxfId="140"/>
    <tableColumn id="33" xr3:uid="{E7263350-CE34-42BC-8BA3-920D0B5D5DD7}" name="Base Damage" dataDxfId="139" totalsRowDxfId="138"/>
    <tableColumn id="48" xr3:uid="{8F5A9401-D8B0-402B-B02D-B8F5CDD505AA}" name="(20) Weapon" dataDxfId="137" totalsRowDxfId="136"/>
    <tableColumn id="34" xr3:uid="{B12D09F3-1380-48D5-A2BA-8B11E4C88757}" name="Ability 01" dataDxfId="135" totalsRowDxfId="134"/>
    <tableColumn id="35" xr3:uid="{8D14831B-42E7-48F4-B7F2-25B927859D40}" name="Ability 02" dataDxfId="133" totalsRowDxfId="132"/>
    <tableColumn id="36" xr3:uid="{6FF2A6B2-ECB9-4D0E-A8B5-D795974F121E}" name="Ability 03" dataDxfId="131" totalsRowDxfId="130"/>
    <tableColumn id="37" xr3:uid="{FCF70060-EB7F-4C7D-935E-8B9E23680945}" name="Ability 04" dataDxfId="129" totalsRowDxfId="128"/>
    <tableColumn id="38" xr3:uid="{1661F3F4-AFE2-4A8A-BC0F-C638F02AD7FA}" name="Ability 05" dataDxfId="127" totalsRowDxfId="126"/>
    <tableColumn id="39" xr3:uid="{749B545A-C56D-448D-ADC6-F6E5EF30970F}" name="Ability 06" dataDxfId="125" totalsRowDxfId="124"/>
    <tableColumn id="40" xr3:uid="{1350D8FB-A25C-4943-845C-BDB5189D4DB8}" name="Ability 07" dataDxfId="123" totalsRowDxfId="122"/>
    <tableColumn id="41" xr3:uid="{81B9FE51-202C-40EF-A63F-6E3C5EC3331F}" name="Ability 08" dataDxfId="121" totalsRowDxfId="120"/>
    <tableColumn id="42" xr3:uid="{0F302C38-F9C9-44BB-BDF5-2D851EAD3499}" name="Ability 09" dataDxfId="119" totalsRowDxfId="118"/>
    <tableColumn id="43" xr3:uid="{B8B55F2D-599E-4A57-8EBF-D321D4F84450}" name="Ability 10" dataDxfId="117" totalsRowDxfId="116"/>
    <tableColumn id="44" xr3:uid="{41A6ECAA-CA72-40B5-A2AE-45D56BA5548F}" name="Ability 11" dataDxfId="115" totalsRowDxfId="114"/>
    <tableColumn id="21" xr3:uid="{2DDFC520-EC1E-4663-B8AB-4871DB2949AC}" name="Ability 12" dataDxfId="12" totalsRowDxfId="113"/>
    <tableColumn id="15" xr3:uid="{531E1D48-2151-400A-B158-74D6F86864C9}" name="Icon 1" dataDxfId="9" totalsRowDxfId="13"/>
    <tableColumn id="20" xr3:uid="{BEEA4246-89A7-455E-8AA7-EA7FFD2627B0}" name="Icon 2 " dataDxfId="8" totalsRowDxfId="10"/>
    <tableColumn id="16" xr3:uid="{3C24BA6C-4815-4EAE-9979-24EE0FF3A9D7}" name="Icon 3" dataDxfId="7" totalsRowDxfId="11"/>
    <tableColumn id="14" xr3:uid="{7CCF29F4-E238-4C79-BC40-DFED18B78EE7}" name="Icon 4" dataDxfId="6" totalsRowDxfId="14"/>
    <tableColumn id="22" xr3:uid="{CCA0489A-A94C-44C2-9604-39C561AFA833}" name="(37) Produced Wood" dataDxfId="112" totalsRowDxfId="111"/>
    <tableColumn id="23" xr3:uid="{83BF17BD-DB57-44E9-803C-1D5B2A4F0588}" name="Produced Gold" dataDxfId="110" totalsRowDxfId="109"/>
    <tableColumn id="24" xr3:uid="{F710491B-0480-4C64-8FB9-7B3D4ACCC5F5}" name="Produced Food" dataDxfId="108" totalsRowDxfId="107"/>
    <tableColumn id="25" xr3:uid="{4DAD376F-D459-458B-96DA-DD65B46D928D}" name="Produced Unit" dataDxfId="106" totalsRowDxfId="105"/>
    <tableColumn id="26" xr3:uid="{B7E1787B-89BB-44A1-B700-277EE89709ED}" name="Production Speed" dataDxfId="104" totalsRowDxfId="103"/>
    <tableColumn id="27" xr3:uid="{9CF22201-A8AF-4BDE-82B9-74C79CBC635E}" name="Supplied Wood" dataDxfId="102" totalsRowDxfId="101"/>
    <tableColumn id="28" xr3:uid="{ED86828A-724D-4CD2-B29F-21A19E9198D2}" name="Supplied Gold" dataDxfId="100" totalsRowDxfId="99"/>
    <tableColumn id="17" xr3:uid="{13FB8529-2E3C-4824-BD86-F265E15F8424}" name="Supplied Food" dataDxfId="98" totalsRowDxfId="97"/>
    <tableColumn id="18" xr3:uid="{1325C41D-8E69-4856-B88D-B0F0384C58F2}" name="Supplied Unit" dataDxfId="96" totalsRowDxfId="9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5F704-C7D7-44EC-8EA5-3FC7BF9D0985}" name="Tabelle13" displayName="Tabelle13" ref="A1:AO2" headerRowDxfId="94" dataDxfId="92" headerRowBorderDxfId="93" tableBorderDxfId="91">
  <autoFilter ref="A1:AO2" xr:uid="{6F0A3CEE-F12E-4E93-A64F-9358F0D01848}"/>
  <tableColumns count="41">
    <tableColumn id="1" xr3:uid="{76269785-46B8-44C3-AA09-2ACE29A2FCF4}" name="Name" totalsRowLabel="Ergebnis" dataDxfId="90" totalsRowDxfId="89"/>
    <tableColumn id="2" xr3:uid="{5CDE08F7-4A77-4B9E-B02A-1F8C480C837F}" name="Type" dataDxfId="88" totalsRowDxfId="87"/>
    <tableColumn id="3" xr3:uid="{BF48F91E-8FDC-42C3-A703-F600E33A45F7}" name="ToolTip" dataDxfId="86" totalsRowDxfId="85"/>
    <tableColumn id="4" xr3:uid="{6A234E2C-4FB4-48FA-BE25-C7A4D19A7400}" name="BuildTIme" dataDxfId="84" totalsRowDxfId="83"/>
    <tableColumn id="5" xr3:uid="{A5BB4AEC-C802-4D6F-87C8-5B90F8693EA9}" name="DeathTime" dataDxfId="82" totalsRowDxfId="81"/>
    <tableColumn id="47" xr3:uid="{9C0C8770-8659-4FEF-A615-8076B6C3B5ED}" name="Required Wood" dataDxfId="80" totalsRowDxfId="79"/>
    <tableColumn id="46" xr3:uid="{DA78928E-96DC-498E-B8F3-BD850C01FA1A}" name="Required Gold" dataDxfId="78" totalsRowDxfId="77"/>
    <tableColumn id="45" xr3:uid="{38EFAD4B-48A4-4EB5-B7E3-70BE479BC426}" name="Required Food" dataDxfId="76" totalsRowDxfId="75"/>
    <tableColumn id="6" xr3:uid="{428C384B-7A55-4008-B289-B4E388C45F6F}" name="Required Unit" dataDxfId="74" totalsRowDxfId="73"/>
    <tableColumn id="7" xr3:uid="{056F9907-6354-4AC4-B221-BA88F1A56D8B}" name="HealthMax" dataDxfId="72" totalsRowDxfId="71"/>
    <tableColumn id="8" xr3:uid="{0413FA5D-EA0D-43FF-BFE4-CEBB14CBC2F8}" name="Health Regen" dataDxfId="70" totalsRowDxfId="69"/>
    <tableColumn id="9" xr3:uid="{CDE562E9-08E2-4098-A2B7-2C93FA1A39C5}" name="Health Regen Rate" dataDxfId="68" totalsRowDxfId="67"/>
    <tableColumn id="10" xr3:uid="{4C0A160E-0506-4496-909A-93B585EBF8D4}" name="ManaMax" dataDxfId="66" totalsRowDxfId="65"/>
    <tableColumn id="11" xr3:uid="{94658330-595D-433B-971D-9D57B2A857BD}" name="Mana Regen" dataDxfId="64" totalsRowDxfId="63"/>
    <tableColumn id="12" xr3:uid="{D663DDAF-CFC8-4C99-A144-CE5A9E9603A5}" name="Mana Regen Rate" totalsRowFunction="sum" dataDxfId="62" totalsRowDxfId="61"/>
    <tableColumn id="29" xr3:uid="{2F0AC3EF-DF9E-4B7F-B264-6BBB3EA5F269}" name="Armor" dataDxfId="60" totalsRowDxfId="59"/>
    <tableColumn id="30" xr3:uid="{2ED0FFB7-8368-4666-8A92-DC70792AC9C6}" name="Attack Range" dataDxfId="58" totalsRowDxfId="57"/>
    <tableColumn id="31" xr3:uid="{5CB522A9-D39D-46F3-A3DC-4103FC52F960}" name="Action Range" dataDxfId="56" totalsRowDxfId="55"/>
    <tableColumn id="32" xr3:uid="{6535DA33-FB38-4522-834A-4E1D9EB01A15}" name="Base Attack Speed" dataDxfId="54" totalsRowDxfId="53"/>
    <tableColumn id="33" xr3:uid="{8FE04036-1781-4BFF-A0DD-774F20AEC642}" name="Base Damage" dataDxfId="52" totalsRowDxfId="51"/>
    <tableColumn id="48" xr3:uid="{7DFE1C83-F97E-4C89-96C4-965C1CCA604F}" name="Weapon" dataDxfId="50" totalsRowDxfId="49"/>
    <tableColumn id="34" xr3:uid="{92419F24-F623-4C4F-AFF6-D6996AFE1E67}" name="Ability 01" dataDxfId="48" totalsRowDxfId="47"/>
    <tableColumn id="35" xr3:uid="{9B5E6F2C-5EE9-4995-8B9E-5C88F056F0FE}" name="Ability 02" dataDxfId="46" totalsRowDxfId="45"/>
    <tableColumn id="36" xr3:uid="{D03E785E-8EB7-43A8-949F-91D889F5BCB0}" name="Ability 03" dataDxfId="44" totalsRowDxfId="43"/>
    <tableColumn id="37" xr3:uid="{A91B9D9F-56C3-4BF1-8916-401538B0C9F9}" name="Ability 04" dataDxfId="42" totalsRowDxfId="41"/>
    <tableColumn id="38" xr3:uid="{913CC55A-2256-450A-BB7B-50603DF99404}" name="Ability 05" dataDxfId="40" totalsRowDxfId="39"/>
    <tableColumn id="39" xr3:uid="{097CE444-7E8F-4EF1-9FA0-63B3CFA30B9D}" name="Ability 06" dataDxfId="38" totalsRowDxfId="37"/>
    <tableColumn id="40" xr3:uid="{C47D7946-9369-47D3-A905-F679294EB4BA}" name="Ability 07" dataDxfId="36" totalsRowDxfId="35"/>
    <tableColumn id="41" xr3:uid="{145B6C49-00CB-42F1-B627-DDDB8B780C4C}" name="Ability 08" dataDxfId="34" totalsRowDxfId="33"/>
    <tableColumn id="42" xr3:uid="{455891C9-A9F6-4248-A295-B2814B25251E}" name="Ability 09" dataDxfId="32" totalsRowDxfId="31"/>
    <tableColumn id="43" xr3:uid="{F12B1E6E-6523-4E4A-95D4-9A30D846A97C}" name="Ability 10" dataDxfId="30" totalsRowDxfId="29"/>
    <tableColumn id="44" xr3:uid="{723B46D6-73EF-44D4-BD6A-B80422E2FF6E}" name="Ability 11" dataDxfId="28" totalsRowDxfId="27"/>
    <tableColumn id="21" xr3:uid="{0782140F-0952-4607-A23F-5FAAC54E068B}" name="Ability 12" dataDxfId="26" totalsRowDxfId="25"/>
    <tableColumn id="22" xr3:uid="{D8418866-DE78-4A5F-9F88-2CE696D74C5B}" name="Icon 1" dataDxfId="3" totalsRowDxfId="24"/>
    <tableColumn id="23" xr3:uid="{AB44CA33-43E5-412A-8DE2-03B714637B06}" name="Icon 2 " dataDxfId="2" totalsRowDxfId="23"/>
    <tableColumn id="24" xr3:uid="{C46F0D4F-197E-4FAA-9148-290552AC0440}" name="Icon 3 " dataDxfId="1" totalsRowDxfId="22"/>
    <tableColumn id="25" xr3:uid="{FA2A1CDB-6E9C-419E-A8BA-A2D4C2737133}" name="Icon 4" dataDxfId="0" totalsRowDxfId="21"/>
    <tableColumn id="26" xr3:uid="{004D5E47-EB0F-4705-A6C7-26D7E2A7F80D}" name="Character Type" dataDxfId="5" totalsRowDxfId="20"/>
    <tableColumn id="27" xr3:uid="{E95CFF96-2AAB-47B2-9F97-361CADE26EB5}" name="Movement Type" dataDxfId="4" totalsRowDxfId="19"/>
    <tableColumn id="28" xr3:uid="{52DA6EBE-BF25-4921-90BB-8A9A9F773E93}" name="Movement Speed" dataDxfId="18" totalsRowDxfId="17"/>
    <tableColumn id="17" xr3:uid="{2513F6E0-B93B-4852-B2DD-1B977F6B708A}" name="Movement Accerlation" dataDxfId="16" totalsRowDxfId="1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0CCCE-AD23-479D-B263-6FE798442C6A}">
  <sheetPr codeName="Tabelle1"/>
  <dimension ref="A1:K15"/>
  <sheetViews>
    <sheetView showGridLines="0" zoomScale="130" zoomScaleNormal="130" workbookViewId="0">
      <selection activeCell="D4" sqref="D4"/>
    </sheetView>
  </sheetViews>
  <sheetFormatPr baseColWidth="10" defaultRowHeight="15" x14ac:dyDescent="0.25"/>
  <cols>
    <col min="1" max="11" width="20.7109375" customWidth="1"/>
  </cols>
  <sheetData>
    <row r="1" spans="1:11" ht="24.95" customHeight="1" x14ac:dyDescent="0.25">
      <c r="A1" s="47" t="s">
        <v>46</v>
      </c>
      <c r="B1" s="47" t="s">
        <v>48</v>
      </c>
      <c r="C1" s="47" t="s">
        <v>47</v>
      </c>
      <c r="D1" s="47"/>
      <c r="E1" s="47"/>
      <c r="F1" s="47"/>
      <c r="G1" s="47"/>
      <c r="H1" s="47"/>
      <c r="I1" s="47"/>
      <c r="J1" s="47"/>
      <c r="K1" s="45"/>
    </row>
    <row r="2" spans="1:11" ht="24.95" customHeight="1" x14ac:dyDescent="0.25">
      <c r="A2" s="46" t="s">
        <v>52</v>
      </c>
      <c r="B2" s="46" t="s">
        <v>49</v>
      </c>
      <c r="C2" s="46" t="s">
        <v>49</v>
      </c>
      <c r="D2" s="46"/>
      <c r="E2" s="46"/>
      <c r="F2" s="46"/>
      <c r="G2" s="46"/>
      <c r="H2" s="46"/>
      <c r="I2" s="46"/>
      <c r="J2" s="46"/>
      <c r="K2" s="46"/>
    </row>
    <row r="3" spans="1:11" ht="24.95" customHeight="1" x14ac:dyDescent="0.25">
      <c r="A3" s="46" t="s">
        <v>53</v>
      </c>
      <c r="B3" s="46" t="s">
        <v>50</v>
      </c>
      <c r="C3" s="46" t="s">
        <v>45</v>
      </c>
      <c r="D3" s="46"/>
      <c r="E3" s="46"/>
      <c r="F3" s="46"/>
      <c r="G3" s="46"/>
      <c r="H3" s="46"/>
      <c r="I3" s="46"/>
      <c r="J3" s="46"/>
      <c r="K3" s="46"/>
    </row>
    <row r="4" spans="1:11" ht="24.95" customHeight="1" x14ac:dyDescent="0.25">
      <c r="A4" s="48" t="s">
        <v>5</v>
      </c>
      <c r="B4" s="46" t="s">
        <v>51</v>
      </c>
      <c r="C4" s="46" t="s">
        <v>44</v>
      </c>
      <c r="D4" s="46"/>
      <c r="E4" s="46"/>
      <c r="F4" s="46"/>
      <c r="G4" s="46"/>
      <c r="H4" s="46"/>
      <c r="I4" s="46"/>
      <c r="J4" s="46"/>
      <c r="K4" s="46"/>
    </row>
    <row r="5" spans="1:11" ht="24.95" customHeight="1" x14ac:dyDescent="0.25">
      <c r="A5" s="46"/>
      <c r="B5" s="48" t="s">
        <v>5</v>
      </c>
      <c r="C5" s="46" t="s">
        <v>54</v>
      </c>
      <c r="D5" s="46"/>
      <c r="E5" s="46"/>
      <c r="F5" s="46"/>
      <c r="G5" s="46"/>
      <c r="H5" s="46"/>
      <c r="I5" s="46"/>
      <c r="J5" s="46"/>
      <c r="K5" s="46"/>
    </row>
    <row r="6" spans="1:11" ht="24.95" customHeight="1" x14ac:dyDescent="0.25">
      <c r="A6" s="46"/>
      <c r="B6" s="48" t="s">
        <v>5</v>
      </c>
      <c r="C6" s="46" t="s">
        <v>55</v>
      </c>
      <c r="D6" s="46"/>
      <c r="E6" s="46"/>
      <c r="F6" s="46"/>
      <c r="G6" s="46"/>
      <c r="H6" s="46"/>
      <c r="I6" s="46"/>
      <c r="J6" s="46"/>
      <c r="K6" s="46"/>
    </row>
    <row r="7" spans="1:11" ht="24.95" customHeight="1" x14ac:dyDescent="0.25">
      <c r="A7" s="46"/>
      <c r="B7" s="46"/>
      <c r="C7" s="46" t="s">
        <v>56</v>
      </c>
      <c r="D7" s="46"/>
      <c r="E7" s="46"/>
      <c r="F7" s="46"/>
      <c r="G7" s="46"/>
      <c r="H7" s="46"/>
      <c r="I7" s="46"/>
      <c r="J7" s="46"/>
      <c r="K7" s="46"/>
    </row>
    <row r="8" spans="1:11" ht="24.95" customHeight="1" x14ac:dyDescent="0.25">
      <c r="A8" s="46"/>
      <c r="B8" s="46"/>
      <c r="C8" s="46" t="s">
        <v>57</v>
      </c>
      <c r="D8" s="46"/>
      <c r="E8" s="46"/>
      <c r="F8" s="46"/>
      <c r="G8" s="46"/>
      <c r="H8" s="46"/>
      <c r="I8" s="46"/>
      <c r="J8" s="46"/>
      <c r="K8" s="46"/>
    </row>
    <row r="9" spans="1:11" ht="24.95" customHeight="1" x14ac:dyDescent="0.25">
      <c r="A9" s="46"/>
      <c r="B9" s="46"/>
      <c r="C9" s="46" t="s">
        <v>58</v>
      </c>
      <c r="D9" s="46"/>
      <c r="E9" s="46"/>
      <c r="F9" s="46"/>
      <c r="G9" s="46"/>
      <c r="H9" s="46"/>
      <c r="I9" s="46"/>
      <c r="J9" s="46"/>
      <c r="K9" s="46"/>
    </row>
    <row r="10" spans="1:11" ht="24.95" customHeight="1" x14ac:dyDescent="0.25">
      <c r="A10" s="46"/>
      <c r="B10" s="46"/>
      <c r="C10" s="46" t="s">
        <v>59</v>
      </c>
      <c r="D10" s="46"/>
      <c r="E10" s="46"/>
      <c r="F10" s="46"/>
      <c r="G10" s="46"/>
      <c r="H10" s="46"/>
      <c r="I10" s="46"/>
      <c r="J10" s="46"/>
      <c r="K10" s="46"/>
    </row>
    <row r="11" spans="1:11" ht="24.95" customHeight="1" x14ac:dyDescent="0.25">
      <c r="A11" s="46"/>
      <c r="B11" s="46"/>
      <c r="C11" s="46" t="s">
        <v>60</v>
      </c>
      <c r="D11" s="46"/>
      <c r="E11" s="46"/>
      <c r="F11" s="46"/>
      <c r="G11" s="46"/>
      <c r="H11" s="46"/>
      <c r="I11" s="46"/>
      <c r="J11" s="46"/>
      <c r="K11" s="46"/>
    </row>
    <row r="12" spans="1:11" ht="24.95" customHeight="1" x14ac:dyDescent="0.25">
      <c r="A12" s="46"/>
      <c r="B12" s="46"/>
      <c r="C12" s="46" t="s">
        <v>61</v>
      </c>
      <c r="D12" s="46"/>
      <c r="E12" s="46"/>
      <c r="F12" s="46"/>
      <c r="G12" s="46"/>
      <c r="H12" s="46"/>
      <c r="I12" s="46"/>
      <c r="J12" s="46"/>
      <c r="K12" s="46"/>
    </row>
    <row r="13" spans="1:11" ht="24.95" customHeight="1" x14ac:dyDescent="0.25">
      <c r="A13" s="46"/>
      <c r="B13" s="46"/>
      <c r="C13" s="46" t="s">
        <v>62</v>
      </c>
      <c r="D13" s="46"/>
      <c r="E13" s="46"/>
      <c r="F13" s="46"/>
      <c r="G13" s="46"/>
      <c r="H13" s="46"/>
      <c r="I13" s="46"/>
      <c r="J13" s="46"/>
      <c r="K13" s="46"/>
    </row>
    <row r="14" spans="1:11" ht="24.95" customHeight="1" x14ac:dyDescent="0.25">
      <c r="A14" s="46"/>
      <c r="B14" s="46"/>
      <c r="C14" s="48" t="s">
        <v>5</v>
      </c>
      <c r="D14" s="46"/>
      <c r="E14" s="46"/>
      <c r="F14" s="46"/>
      <c r="G14" s="46"/>
      <c r="H14" s="46"/>
      <c r="I14" s="46"/>
      <c r="J14" s="46"/>
      <c r="K14" s="46"/>
    </row>
    <row r="15" spans="1:11" ht="24.95" customHeight="1" x14ac:dyDescent="0.25">
      <c r="A15" s="46"/>
      <c r="B15" s="46"/>
      <c r="C15" s="48" t="s">
        <v>5</v>
      </c>
      <c r="D15" s="46"/>
      <c r="E15" s="46"/>
      <c r="F15" s="46"/>
      <c r="G15" s="46"/>
      <c r="H15" s="46"/>
      <c r="I15" s="46"/>
      <c r="J15" s="46"/>
      <c r="K15" s="46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73229-0EBE-4186-A494-AC0BF15A3856}">
  <sheetPr codeName="Tabelle2">
    <tabColor theme="8" tint="0.59999389629810485"/>
  </sheetPr>
  <dimension ref="A1:AT30"/>
  <sheetViews>
    <sheetView showGridLines="0"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2" width="15.7109375" customWidth="1"/>
    <col min="3" max="3" width="65.7109375" customWidth="1"/>
    <col min="4" max="20" width="15.7109375" customWidth="1"/>
    <col min="21" max="33" width="20.7109375" customWidth="1"/>
    <col min="34" max="45" width="15.7109375" customWidth="1"/>
  </cols>
  <sheetData>
    <row r="1" spans="1:46" s="1" customFormat="1" ht="54.95" customHeight="1" thickBot="1" x14ac:dyDescent="0.3">
      <c r="A1" s="59" t="s">
        <v>75</v>
      </c>
      <c r="B1" s="60" t="s">
        <v>1</v>
      </c>
      <c r="C1" s="61" t="s">
        <v>2</v>
      </c>
      <c r="D1" s="62" t="s">
        <v>74</v>
      </c>
      <c r="E1" s="63" t="s">
        <v>4</v>
      </c>
      <c r="F1" s="96" t="s">
        <v>76</v>
      </c>
      <c r="G1" s="97" t="s">
        <v>15</v>
      </c>
      <c r="H1" s="97" t="s">
        <v>16</v>
      </c>
      <c r="I1" s="98" t="s">
        <v>17</v>
      </c>
      <c r="J1" s="83" t="s">
        <v>77</v>
      </c>
      <c r="K1" s="84" t="s">
        <v>10</v>
      </c>
      <c r="L1" s="85" t="s">
        <v>11</v>
      </c>
      <c r="M1" s="80" t="s">
        <v>7</v>
      </c>
      <c r="N1" s="81" t="s">
        <v>12</v>
      </c>
      <c r="O1" s="82" t="s">
        <v>13</v>
      </c>
      <c r="P1" s="68" t="s">
        <v>18</v>
      </c>
      <c r="Q1" s="78" t="s">
        <v>19</v>
      </c>
      <c r="R1" s="79" t="s">
        <v>20</v>
      </c>
      <c r="S1" s="22" t="s">
        <v>21</v>
      </c>
      <c r="T1" s="23" t="s">
        <v>22</v>
      </c>
      <c r="U1" s="86" t="s">
        <v>78</v>
      </c>
      <c r="V1" s="87" t="s">
        <v>23</v>
      </c>
      <c r="W1" s="88" t="s">
        <v>24</v>
      </c>
      <c r="X1" s="88" t="s">
        <v>25</v>
      </c>
      <c r="Y1" s="88" t="s">
        <v>26</v>
      </c>
      <c r="Z1" s="88" t="s">
        <v>27</v>
      </c>
      <c r="AA1" s="88" t="s">
        <v>28</v>
      </c>
      <c r="AB1" s="88" t="s">
        <v>29</v>
      </c>
      <c r="AC1" s="88" t="s">
        <v>30</v>
      </c>
      <c r="AD1" s="88" t="s">
        <v>31</v>
      </c>
      <c r="AE1" s="88" t="s">
        <v>32</v>
      </c>
      <c r="AF1" s="88" t="s">
        <v>33</v>
      </c>
      <c r="AG1" s="89" t="s">
        <v>34</v>
      </c>
      <c r="AH1" s="101" t="s">
        <v>65</v>
      </c>
      <c r="AI1" s="101" t="s">
        <v>66</v>
      </c>
      <c r="AJ1" s="101" t="s">
        <v>67</v>
      </c>
      <c r="AK1" s="101" t="s">
        <v>68</v>
      </c>
      <c r="AL1" s="22" t="s">
        <v>79</v>
      </c>
      <c r="AM1" s="75" t="s">
        <v>36</v>
      </c>
      <c r="AN1" s="75" t="s">
        <v>37</v>
      </c>
      <c r="AO1" s="75" t="s">
        <v>38</v>
      </c>
      <c r="AP1" s="23" t="s">
        <v>39</v>
      </c>
      <c r="AQ1" s="76" t="s">
        <v>40</v>
      </c>
      <c r="AR1" s="75" t="s">
        <v>41</v>
      </c>
      <c r="AS1" s="75" t="s">
        <v>42</v>
      </c>
      <c r="AT1" s="77" t="s">
        <v>43</v>
      </c>
    </row>
    <row r="2" spans="1:46" ht="30" customHeight="1" x14ac:dyDescent="0.25">
      <c r="A2" s="7" t="s">
        <v>8</v>
      </c>
      <c r="B2" s="2" t="str">
        <f>IF(Tabelle1[[#This Row],[(0) Name]]="","","Building")</f>
        <v>Building</v>
      </c>
      <c r="C2" s="8" t="s">
        <v>9</v>
      </c>
      <c r="D2" s="31">
        <v>2</v>
      </c>
      <c r="E2" s="32">
        <v>2</v>
      </c>
      <c r="F2" s="90">
        <v>25</v>
      </c>
      <c r="G2" s="91">
        <v>10</v>
      </c>
      <c r="H2" s="91">
        <v>0</v>
      </c>
      <c r="I2" s="92">
        <v>0</v>
      </c>
      <c r="J2" s="13">
        <v>5000</v>
      </c>
      <c r="K2" s="35">
        <v>1</v>
      </c>
      <c r="L2" s="36">
        <v>1</v>
      </c>
      <c r="M2" s="18">
        <v>2000</v>
      </c>
      <c r="N2" s="39">
        <v>1</v>
      </c>
      <c r="O2" s="40">
        <v>1</v>
      </c>
      <c r="P2" s="20">
        <v>0</v>
      </c>
      <c r="Q2" s="43">
        <v>1</v>
      </c>
      <c r="R2" s="44">
        <v>1</v>
      </c>
      <c r="S2" s="24">
        <v>1</v>
      </c>
      <c r="T2" s="25">
        <v>1</v>
      </c>
      <c r="U2" s="26" t="s">
        <v>51</v>
      </c>
      <c r="V2" s="28" t="s">
        <v>49</v>
      </c>
      <c r="W2" s="5" t="s">
        <v>49</v>
      </c>
      <c r="X2" s="5" t="s">
        <v>49</v>
      </c>
      <c r="Y2" s="5" t="s">
        <v>49</v>
      </c>
      <c r="Z2" s="5" t="s">
        <v>49</v>
      </c>
      <c r="AA2" s="5" t="s">
        <v>49</v>
      </c>
      <c r="AB2" s="5" t="s">
        <v>49</v>
      </c>
      <c r="AC2" s="5" t="s">
        <v>49</v>
      </c>
      <c r="AD2" s="5" t="s">
        <v>44</v>
      </c>
      <c r="AE2" s="5" t="s">
        <v>49</v>
      </c>
      <c r="AF2" s="5" t="s">
        <v>49</v>
      </c>
      <c r="AG2" s="29" t="s">
        <v>45</v>
      </c>
      <c r="AH2" s="99"/>
      <c r="AI2" s="99"/>
      <c r="AJ2" s="99"/>
      <c r="AK2" s="99"/>
      <c r="AL2" s="24">
        <v>0</v>
      </c>
      <c r="AM2" s="4">
        <v>0</v>
      </c>
      <c r="AN2" s="4">
        <v>0</v>
      </c>
      <c r="AO2" s="4">
        <v>0</v>
      </c>
      <c r="AP2" s="30">
        <v>0</v>
      </c>
      <c r="AQ2" s="24">
        <v>0</v>
      </c>
      <c r="AR2" s="4">
        <v>0</v>
      </c>
      <c r="AS2" s="4">
        <v>0</v>
      </c>
      <c r="AT2" s="57">
        <v>0</v>
      </c>
    </row>
    <row r="3" spans="1:46" ht="30" customHeight="1" x14ac:dyDescent="0.25">
      <c r="A3" s="9" t="s">
        <v>63</v>
      </c>
      <c r="B3" s="49" t="str">
        <f>IF(Tabelle1[[#This Row],[(0) Name]]="","","Building")</f>
        <v>Building</v>
      </c>
      <c r="C3" s="10" t="s">
        <v>64</v>
      </c>
      <c r="D3" s="33">
        <v>5</v>
      </c>
      <c r="E3" s="34">
        <v>2</v>
      </c>
      <c r="F3" s="93">
        <v>1</v>
      </c>
      <c r="G3" s="94">
        <v>0</v>
      </c>
      <c r="H3" s="94">
        <v>0</v>
      </c>
      <c r="I3" s="95">
        <v>0</v>
      </c>
      <c r="J3" s="14">
        <v>1000</v>
      </c>
      <c r="K3" s="37">
        <v>0</v>
      </c>
      <c r="L3" s="38">
        <v>0</v>
      </c>
      <c r="M3" s="19">
        <v>1</v>
      </c>
      <c r="N3" s="41">
        <v>0</v>
      </c>
      <c r="O3" s="42">
        <v>0</v>
      </c>
      <c r="P3" s="21">
        <v>0</v>
      </c>
      <c r="Q3" s="50">
        <v>1</v>
      </c>
      <c r="R3" s="51">
        <v>1</v>
      </c>
      <c r="S3" s="52"/>
      <c r="T3" s="53"/>
      <c r="U3" s="27" t="s">
        <v>49</v>
      </c>
      <c r="V3" s="54" t="s">
        <v>49</v>
      </c>
      <c r="W3" s="55" t="s">
        <v>49</v>
      </c>
      <c r="X3" s="55" t="s">
        <v>49</v>
      </c>
      <c r="Y3" s="55" t="s">
        <v>49</v>
      </c>
      <c r="Z3" s="55" t="s">
        <v>49</v>
      </c>
      <c r="AA3" s="55" t="s">
        <v>49</v>
      </c>
      <c r="AB3" s="55" t="s">
        <v>49</v>
      </c>
      <c r="AC3" s="55" t="s">
        <v>49</v>
      </c>
      <c r="AD3" s="55" t="s">
        <v>44</v>
      </c>
      <c r="AE3" s="55" t="s">
        <v>49</v>
      </c>
      <c r="AF3" s="55" t="s">
        <v>49</v>
      </c>
      <c r="AG3" s="55" t="s">
        <v>45</v>
      </c>
      <c r="AH3" s="100"/>
      <c r="AI3" s="100"/>
      <c r="AJ3" s="100"/>
      <c r="AK3" s="100"/>
      <c r="AL3" s="52">
        <v>0</v>
      </c>
      <c r="AM3" s="6">
        <v>0</v>
      </c>
      <c r="AN3" s="6">
        <v>0</v>
      </c>
      <c r="AO3" s="6">
        <v>0</v>
      </c>
      <c r="AP3" s="56">
        <v>0</v>
      </c>
      <c r="AQ3" s="52">
        <v>0</v>
      </c>
      <c r="AR3" s="6">
        <v>0</v>
      </c>
      <c r="AS3" s="6">
        <v>0</v>
      </c>
      <c r="AT3" s="58">
        <v>0</v>
      </c>
    </row>
    <row r="4" spans="1:46" ht="30" customHeight="1" x14ac:dyDescent="0.25"/>
    <row r="5" spans="1:46" ht="30" customHeight="1" x14ac:dyDescent="0.25"/>
    <row r="6" spans="1:46" ht="30" customHeight="1" x14ac:dyDescent="0.25"/>
    <row r="7" spans="1:46" ht="30" customHeight="1" x14ac:dyDescent="0.25"/>
    <row r="8" spans="1:46" ht="30" customHeight="1" x14ac:dyDescent="0.25"/>
    <row r="9" spans="1:46" ht="30" customHeight="1" x14ac:dyDescent="0.25"/>
    <row r="10" spans="1:46" ht="30" customHeight="1" x14ac:dyDescent="0.25"/>
    <row r="11" spans="1:46" ht="30" customHeight="1" x14ac:dyDescent="0.25"/>
    <row r="12" spans="1:46" ht="30" customHeight="1" x14ac:dyDescent="0.25"/>
    <row r="13" spans="1:46" ht="30" customHeight="1" x14ac:dyDescent="0.25"/>
    <row r="14" spans="1:46" ht="30" customHeight="1" x14ac:dyDescent="0.25"/>
    <row r="15" spans="1:46" ht="30" customHeight="1" x14ac:dyDescent="0.25"/>
    <row r="16" spans="1:4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</sheetData>
  <phoneticPr fontId="3" type="noConversion"/>
  <dataValidations count="5">
    <dataValidation type="list" allowBlank="1" showInputMessage="1" showErrorMessage="1" sqref="U2:U3" xr:uid="{3F1AB8DE-D7F1-4F69-956E-5B2C7524CFE7}">
      <formula1>Weapons</formula1>
    </dataValidation>
    <dataValidation type="decimal" allowBlank="1" showInputMessage="1" showErrorMessage="1" sqref="K2:L3 N2:O3" xr:uid="{4C194D94-9DD7-4972-9977-7318056B5C90}">
      <formula1>0</formula1>
      <formula2>99.9</formula2>
    </dataValidation>
    <dataValidation type="decimal" allowBlank="1" showInputMessage="1" showErrorMessage="1" sqref="Q2:R3" xr:uid="{6A21CA71-8F5A-4C47-A9F8-401DEA283840}">
      <formula1>1</formula1>
      <formula2>99.9</formula2>
    </dataValidation>
    <dataValidation type="whole" allowBlank="1" showInputMessage="1" showErrorMessage="1" sqref="J2:J3 M2:M3" xr:uid="{BA50AAB3-4FAB-46F4-B3D8-582885D07F5B}">
      <formula1>1</formula1>
      <formula2>9999</formula2>
    </dataValidation>
    <dataValidation type="list" allowBlank="1" showInputMessage="1" showErrorMessage="1" sqref="V2:AC3 AE2:AF3" xr:uid="{DE3F8629-ABE3-4A13-A3EA-DD87D4C031DF}">
      <formula1>Abilities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ctiveWorkSheetAsCSV">
                <anchor moveWithCells="1" sizeWithCells="1">
                  <from>
                    <xdr:col>2</xdr:col>
                    <xdr:colOff>1657350</xdr:colOff>
                    <xdr:row>0</xdr:row>
                    <xdr:rowOff>142875</xdr:rowOff>
                  </from>
                  <to>
                    <xdr:col>2</xdr:col>
                    <xdr:colOff>3505200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16901-A72A-4C17-AD67-B952DFF0A7E9}">
  <sheetPr codeName="Tabelle3">
    <tabColor theme="8" tint="0.39997558519241921"/>
  </sheetPr>
  <dimension ref="A1:AO25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2" width="15.7109375" customWidth="1"/>
    <col min="3" max="3" width="65.7109375" customWidth="1"/>
    <col min="4" max="20" width="15.7109375" customWidth="1"/>
    <col min="21" max="33" width="20.7109375" customWidth="1"/>
    <col min="34" max="45" width="15.7109375" customWidth="1"/>
  </cols>
  <sheetData>
    <row r="1" spans="1:41" s="1" customFormat="1" ht="54.95" customHeight="1" thickBot="1" x14ac:dyDescent="0.3">
      <c r="A1" s="59" t="s">
        <v>0</v>
      </c>
      <c r="B1" s="60" t="s">
        <v>1</v>
      </c>
      <c r="C1" s="61" t="s">
        <v>2</v>
      </c>
      <c r="D1" s="62" t="s">
        <v>3</v>
      </c>
      <c r="E1" s="63" t="s">
        <v>4</v>
      </c>
      <c r="F1" s="59" t="s">
        <v>14</v>
      </c>
      <c r="G1" s="60" t="s">
        <v>15</v>
      </c>
      <c r="H1" s="60" t="s">
        <v>16</v>
      </c>
      <c r="I1" s="64" t="s">
        <v>17</v>
      </c>
      <c r="J1" s="65" t="s">
        <v>6</v>
      </c>
      <c r="K1" s="66" t="s">
        <v>10</v>
      </c>
      <c r="L1" s="67" t="s">
        <v>11</v>
      </c>
      <c r="M1" s="15" t="s">
        <v>7</v>
      </c>
      <c r="N1" s="16" t="s">
        <v>12</v>
      </c>
      <c r="O1" s="17" t="s">
        <v>13</v>
      </c>
      <c r="P1" s="68" t="s">
        <v>18</v>
      </c>
      <c r="Q1" s="69" t="s">
        <v>19</v>
      </c>
      <c r="R1" s="70" t="s">
        <v>20</v>
      </c>
      <c r="S1" s="22" t="s">
        <v>21</v>
      </c>
      <c r="T1" s="23" t="s">
        <v>22</v>
      </c>
      <c r="U1" s="71" t="s">
        <v>35</v>
      </c>
      <c r="V1" s="72" t="s">
        <v>23</v>
      </c>
      <c r="W1" s="73" t="s">
        <v>24</v>
      </c>
      <c r="X1" s="73" t="s">
        <v>25</v>
      </c>
      <c r="Y1" s="73" t="s">
        <v>26</v>
      </c>
      <c r="Z1" s="73" t="s">
        <v>27</v>
      </c>
      <c r="AA1" s="73" t="s">
        <v>28</v>
      </c>
      <c r="AB1" s="73" t="s">
        <v>29</v>
      </c>
      <c r="AC1" s="73" t="s">
        <v>30</v>
      </c>
      <c r="AD1" s="73" t="s">
        <v>31</v>
      </c>
      <c r="AE1" s="73" t="s">
        <v>32</v>
      </c>
      <c r="AF1" s="73" t="s">
        <v>33</v>
      </c>
      <c r="AG1" s="74" t="s">
        <v>34</v>
      </c>
      <c r="AH1" s="108" t="s">
        <v>65</v>
      </c>
      <c r="AI1" s="109" t="s">
        <v>66</v>
      </c>
      <c r="AJ1" s="109" t="s">
        <v>69</v>
      </c>
      <c r="AK1" s="110" t="s">
        <v>68</v>
      </c>
      <c r="AL1" s="103" t="s">
        <v>70</v>
      </c>
      <c r="AM1" s="60" t="s">
        <v>71</v>
      </c>
      <c r="AN1" s="75" t="s">
        <v>72</v>
      </c>
      <c r="AO1" s="75" t="s">
        <v>73</v>
      </c>
    </row>
    <row r="2" spans="1:41" ht="30" customHeight="1" x14ac:dyDescent="0.25">
      <c r="A2" s="7"/>
      <c r="B2" s="2"/>
      <c r="C2" s="8"/>
      <c r="D2" s="31"/>
      <c r="E2" s="32"/>
      <c r="F2" s="11"/>
      <c r="G2" s="3"/>
      <c r="H2" s="3"/>
      <c r="I2" s="12"/>
      <c r="J2" s="13"/>
      <c r="K2" s="35"/>
      <c r="L2" s="36"/>
      <c r="M2" s="18"/>
      <c r="N2" s="39"/>
      <c r="O2" s="40"/>
      <c r="P2" s="20"/>
      <c r="Q2" s="43"/>
      <c r="R2" s="44"/>
      <c r="S2" s="24"/>
      <c r="T2" s="25"/>
      <c r="U2" s="26"/>
      <c r="V2" s="28"/>
      <c r="W2" s="5"/>
      <c r="X2" s="5"/>
      <c r="Y2" s="5"/>
      <c r="Z2" s="5"/>
      <c r="AA2" s="5"/>
      <c r="AB2" s="5"/>
      <c r="AC2" s="5"/>
      <c r="AD2" s="5" t="s">
        <v>44</v>
      </c>
      <c r="AE2" s="5"/>
      <c r="AF2" s="5"/>
      <c r="AG2" s="29" t="s">
        <v>45</v>
      </c>
      <c r="AH2" s="105"/>
      <c r="AI2" s="106"/>
      <c r="AJ2" s="106"/>
      <c r="AK2" s="107"/>
      <c r="AL2" s="104"/>
      <c r="AM2" s="102"/>
      <c r="AN2" s="4"/>
      <c r="AO2" s="4"/>
    </row>
    <row r="3" spans="1:41" ht="30" customHeight="1" x14ac:dyDescent="0.25"/>
    <row r="4" spans="1:41" ht="30" customHeight="1" x14ac:dyDescent="0.25"/>
    <row r="5" spans="1:41" ht="30" customHeight="1" x14ac:dyDescent="0.25"/>
    <row r="6" spans="1:41" ht="30" customHeight="1" x14ac:dyDescent="0.25"/>
    <row r="7" spans="1:41" ht="30" customHeight="1" x14ac:dyDescent="0.25"/>
    <row r="8" spans="1:41" ht="30" customHeight="1" x14ac:dyDescent="0.25"/>
    <row r="9" spans="1:41" ht="30" customHeight="1" x14ac:dyDescent="0.25"/>
    <row r="10" spans="1:41" ht="30" customHeight="1" x14ac:dyDescent="0.25"/>
    <row r="11" spans="1:41" ht="30" customHeight="1" x14ac:dyDescent="0.25"/>
    <row r="12" spans="1:41" ht="30" customHeight="1" x14ac:dyDescent="0.25"/>
    <row r="13" spans="1:41" ht="30" customHeight="1" x14ac:dyDescent="0.25"/>
    <row r="14" spans="1:41" ht="30" customHeight="1" x14ac:dyDescent="0.25"/>
    <row r="15" spans="1:41" ht="30" customHeight="1" x14ac:dyDescent="0.25"/>
    <row r="16" spans="1:41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</sheetData>
  <dataValidations count="5">
    <dataValidation type="list" allowBlank="1" showInputMessage="1" showErrorMessage="1" sqref="V2:AC2 AE2:AF2" xr:uid="{B4CEF3F7-5B9C-4EB2-8DA3-95F2D4F4F2CF}">
      <formula1>Abilities</formula1>
    </dataValidation>
    <dataValidation type="whole" allowBlank="1" showInputMessage="1" showErrorMessage="1" sqref="J2 M2" xr:uid="{30E5C767-880A-4842-AAF6-BC10586C685D}">
      <formula1>1</formula1>
      <formula2>9999</formula2>
    </dataValidation>
    <dataValidation type="decimal" allowBlank="1" showInputMessage="1" showErrorMessage="1" sqref="Q2:R2" xr:uid="{45FF060D-0711-4120-BE6B-53F95E62BBD2}">
      <formula1>1</formula1>
      <formula2>99.9</formula2>
    </dataValidation>
    <dataValidation type="decimal" allowBlank="1" showInputMessage="1" showErrorMessage="1" sqref="K2:L2 N2:O2" xr:uid="{A2F803BD-1227-4D0F-8388-839670EDD166}">
      <formula1>0</formula1>
      <formula2>99.9</formula2>
    </dataValidation>
    <dataValidation type="list" allowBlank="1" showInputMessage="1" showErrorMessage="1" sqref="U2" xr:uid="{BAAC5B1E-2304-4262-BA46-27082350EB95}">
      <formula1>Weapons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2</xdr:col>
                    <xdr:colOff>1657350</xdr:colOff>
                    <xdr:row>0</xdr:row>
                    <xdr:rowOff>142875</xdr:rowOff>
                  </from>
                  <to>
                    <xdr:col>2</xdr:col>
                    <xdr:colOff>3505200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D</vt:lpstr>
      <vt:lpstr>Buildings</vt:lpstr>
      <vt:lpstr>Characters</vt:lpstr>
      <vt:lpstr>Abilities</vt:lpstr>
      <vt:lpstr>UnitTypes</vt:lpstr>
      <vt:lpstr>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</dc:creator>
  <cp:lastModifiedBy>TK</cp:lastModifiedBy>
  <dcterms:created xsi:type="dcterms:W3CDTF">2022-05-17T08:12:43Z</dcterms:created>
  <dcterms:modified xsi:type="dcterms:W3CDTF">2022-05-24T21:59:15Z</dcterms:modified>
</cp:coreProperties>
</file>